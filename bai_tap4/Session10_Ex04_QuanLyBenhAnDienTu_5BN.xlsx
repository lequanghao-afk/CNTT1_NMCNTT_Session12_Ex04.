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quanghao\Downloads\"/>
    </mc:Choice>
  </mc:AlternateContent>
  <xr:revisionPtr revIDLastSave="0" documentId="13_ncr:1_{EBBBCFFF-FDD1-4FDA-AB45-348B507AB3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nh Sách Bệnh Nhân" sheetId="1" r:id="rId1"/>
    <sheet name="Dashboard Thống Kê" sheetId="2" r:id="rId2"/>
  </sheets>
  <definedNames>
    <definedName name="_xlnm._FilterDatabase" localSheetId="0" hidden="1">'Danh Sách Bệnh Nhân'!$A$1:$K$6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B10" i="2"/>
  <c r="B15" i="2" s="1"/>
  <c r="C5" i="2"/>
  <c r="E5" i="2" s="1"/>
  <c r="A5" i="2"/>
</calcChain>
</file>

<file path=xl/sharedStrings.xml><?xml version="1.0" encoding="utf-8"?>
<sst xmlns="http://schemas.openxmlformats.org/spreadsheetml/2006/main" count="69" uniqueCount="56">
  <si>
    <t>Mã BN</t>
  </si>
  <si>
    <t>Họ và Tên</t>
  </si>
  <si>
    <t>Giới tính</t>
  </si>
  <si>
    <t>Năm sinh</t>
  </si>
  <si>
    <t>Số điện thoại</t>
  </si>
  <si>
    <t>Địa chỉ</t>
  </si>
  <si>
    <t>Ngày khám</t>
  </si>
  <si>
    <t>Khoa khám</t>
  </si>
  <si>
    <t>Chẩn đoán (ICD-10)</t>
  </si>
  <si>
    <t>BHYT</t>
  </si>
  <si>
    <t>Trạng thái</t>
  </si>
  <si>
    <t>BN0001</t>
  </si>
  <si>
    <t>Nguyễn Văn Anh</t>
  </si>
  <si>
    <t>Nam</t>
  </si>
  <si>
    <t>0912345678</t>
  </si>
  <si>
    <t>Hà Nội</t>
  </si>
  <si>
    <t>Nội tổng hợp</t>
  </si>
  <si>
    <t>Cúm mùa (J11)</t>
  </si>
  <si>
    <t>Có</t>
  </si>
  <si>
    <t>Đã hoàn thành</t>
  </si>
  <si>
    <t>BN0002</t>
  </si>
  <si>
    <t>Trần Thị Hồng</t>
  </si>
  <si>
    <t>Nữ</t>
  </si>
  <si>
    <t>0987654321</t>
  </si>
  <si>
    <t>TP.HCM</t>
  </si>
  <si>
    <t>Nhi khoa</t>
  </si>
  <si>
    <t>Sốt siêu vi (B34)</t>
  </si>
  <si>
    <t>BN0003</t>
  </si>
  <si>
    <t>Lê Minh Cường</t>
  </si>
  <si>
    <t>N/A</t>
  </si>
  <si>
    <t>Đà Nẵng</t>
  </si>
  <si>
    <t>Tim mạch</t>
  </si>
  <si>
    <t>Tăng huyết áp (I10)</t>
  </si>
  <si>
    <t>Không</t>
  </si>
  <si>
    <t>Đang xét nghiệm</t>
  </si>
  <si>
    <t>BN0004</t>
  </si>
  <si>
    <t>Phạm Hoàng Anh</t>
  </si>
  <si>
    <t>0901122334</t>
  </si>
  <si>
    <t>Tiêu hóa</t>
  </si>
  <si>
    <t>Viêm dạ dày (K29)</t>
  </si>
  <si>
    <t>Đang chờ khám</t>
  </si>
  <si>
    <t>BN0005</t>
  </si>
  <si>
    <t>Vũ Đức Tâm</t>
  </si>
  <si>
    <t>0933445566</t>
  </si>
  <si>
    <t>Hải Phòng</t>
  </si>
  <si>
    <t>Tai Mũi Họng</t>
  </si>
  <si>
    <t>Viêm họng cấp (J02)</t>
  </si>
  <si>
    <t>BÁO CÁO TỔNG QUAN QUẢN LÝ BỆNH ÁN ĐIỆN TỬ</t>
  </si>
  <si>
    <t>Phòng khám Startup - Hệ thống Clinic-Cloud</t>
  </si>
  <si>
    <t>Tổng Hồ Sơ Bệnh Nhân</t>
  </si>
  <si>
    <t>Bệnh Nhân Có BHYT</t>
  </si>
  <si>
    <t>Tỷ Lệ BHYT</t>
  </si>
  <si>
    <t>Phân Loại Bệnh Theo Khoa</t>
  </si>
  <si>
    <t>Khoa Khám</t>
  </si>
  <si>
    <t>Số Lượng Bệnh Nhân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</si>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</sst>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6"/>
      <color rgb="FF1F4E79"/>
      <name val="Segoe UI"/>
    </font>
    <font>
      <i/>
      <sz val="10"/>
      <color rgb="FF595959"/>
      <name val="Segoe UI"/>
    </font>
    <font>
      <sz val="10"/>
      <color rgb="FF595959"/>
      <name val="Segoe UI"/>
    </font>
    <font>
      <b/>
      <sz val="20"/>
      <color rgb="FF1F4E79"/>
      <name val="Segoe UI"/>
    </font>
    <font>
      <b/>
      <sz val="12"/>
      <color rgb="FF1F4E79"/>
      <name val="Segoe UI"/>
    </font>
    <font>
      <b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0" fontId="7" fillId="0" borderId="0" xfId="0" applyFont="1"/>
    <xf numFmtId="0" fontId="1" fillId="2" borderId="0" xfId="0" applyFont="1" applyFill="1"/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8" fillId="0" borderId="1" xfId="0" applyFont="1" applyBorder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Tỷ Lệ Phân Bổ Bệnh Nhân Theo Khoa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 Thống Kê'!$B$9</c:f>
              <c:strCache>
                <c:ptCount val="1"/>
                <c:pt idx="0">
                  <c:v>Số Lượng Bệnh Nhân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'Dashboard Thống Kê'!$A$10:$A$14</c:f>
              <c:strCache>
                <c:ptCount val="5"/>
                <c:pt idx="0">
                  <c:v>Nội tổng hợp</c:v>
                </c:pt>
                <c:pt idx="1">
                  <c:v>Nhi khoa</c:v>
                </c:pt>
                <c:pt idx="2">
                  <c:v>Tim mạch</c:v>
                </c:pt>
                <c:pt idx="3">
                  <c:v>Tiêu hóa</c:v>
                </c:pt>
                <c:pt idx="4">
                  <c:v>Tai Mũi Họng</c:v>
                </c:pt>
              </c:strCache>
            </c:strRef>
          </c:cat>
          <c:val>
            <c:numRef>
              <c:f>'Dashboard Thống Kê'!$B$10:$B$14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5-47DF-8B3D-06AD93DAF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B13" sqref="B13"/>
    </sheetView>
  </sheetViews>
  <sheetFormatPr defaultRowHeight="14.4" x14ac:dyDescent="0.3"/>
  <cols>
    <col min="1" max="1" width="12" customWidth="1"/>
    <col min="2" max="2" width="18" customWidth="1"/>
    <col min="3" max="3" width="13" customWidth="1"/>
    <col min="4" max="4" width="12" customWidth="1"/>
    <col min="5" max="5" width="17" customWidth="1"/>
    <col min="6" max="6" width="13" customWidth="1"/>
    <col min="7" max="7" width="14" customWidth="1"/>
    <col min="8" max="8" width="16" customWidth="1"/>
    <col min="9" max="9" width="23" customWidth="1"/>
    <col min="10" max="10" width="12" customWidth="1"/>
    <col min="11" max="11" width="19" customWidth="1"/>
  </cols>
  <sheetData>
    <row r="1" spans="1:11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3">
      <c r="A2" s="2" t="s">
        <v>11</v>
      </c>
      <c r="B2" s="3" t="s">
        <v>12</v>
      </c>
      <c r="C2" s="2" t="s">
        <v>13</v>
      </c>
      <c r="D2" s="2">
        <v>1985</v>
      </c>
      <c r="E2" s="2" t="s">
        <v>14</v>
      </c>
      <c r="F2" s="3" t="s">
        <v>15</v>
      </c>
      <c r="G2" s="4">
        <v>46310</v>
      </c>
      <c r="H2" s="3" t="s">
        <v>16</v>
      </c>
      <c r="I2" s="3" t="s">
        <v>17</v>
      </c>
      <c r="J2" s="2" t="s">
        <v>18</v>
      </c>
      <c r="K2" s="2" t="s">
        <v>19</v>
      </c>
    </row>
    <row r="3" spans="1:11" ht="15" x14ac:dyDescent="0.3">
      <c r="A3" s="5" t="s">
        <v>20</v>
      </c>
      <c r="B3" s="6" t="s">
        <v>21</v>
      </c>
      <c r="C3" s="5" t="s">
        <v>22</v>
      </c>
      <c r="D3" s="5">
        <v>1992</v>
      </c>
      <c r="E3" s="5" t="s">
        <v>23</v>
      </c>
      <c r="F3" s="6" t="s">
        <v>24</v>
      </c>
      <c r="G3" s="7">
        <v>46311</v>
      </c>
      <c r="H3" s="6" t="s">
        <v>25</v>
      </c>
      <c r="I3" s="6" t="s">
        <v>26</v>
      </c>
      <c r="J3" s="5" t="s">
        <v>18</v>
      </c>
      <c r="K3" s="5" t="s">
        <v>19</v>
      </c>
    </row>
    <row r="4" spans="1:11" ht="15" x14ac:dyDescent="0.3">
      <c r="A4" s="2" t="s">
        <v>27</v>
      </c>
      <c r="B4" s="3" t="s">
        <v>28</v>
      </c>
      <c r="C4" s="2" t="s">
        <v>13</v>
      </c>
      <c r="D4" s="2">
        <v>1978</v>
      </c>
      <c r="E4" s="2">
        <v>9876543221</v>
      </c>
      <c r="F4" s="3" t="s">
        <v>30</v>
      </c>
      <c r="G4" s="4">
        <v>46313</v>
      </c>
      <c r="H4" s="3" t="s">
        <v>31</v>
      </c>
      <c r="I4" s="3" t="s">
        <v>32</v>
      </c>
      <c r="J4" s="2" t="s">
        <v>33</v>
      </c>
      <c r="K4" s="2" t="s">
        <v>34</v>
      </c>
    </row>
    <row r="5" spans="1:11" ht="15" x14ac:dyDescent="0.3">
      <c r="A5" s="5" t="s">
        <v>35</v>
      </c>
      <c r="B5" s="6" t="s">
        <v>36</v>
      </c>
      <c r="C5" s="5" t="s">
        <v>22</v>
      </c>
      <c r="D5" s="5">
        <v>2005</v>
      </c>
      <c r="E5" s="5" t="s">
        <v>37</v>
      </c>
      <c r="F5" s="6" t="s">
        <v>29</v>
      </c>
      <c r="G5" s="7">
        <v>46315</v>
      </c>
      <c r="H5" s="6" t="s">
        <v>38</v>
      </c>
      <c r="I5" s="6" t="s">
        <v>39</v>
      </c>
      <c r="J5" s="5" t="s">
        <v>18</v>
      </c>
      <c r="K5" s="5" t="s">
        <v>40</v>
      </c>
    </row>
    <row r="6" spans="1:11" ht="15" x14ac:dyDescent="0.3">
      <c r="A6" s="2" t="s">
        <v>41</v>
      </c>
      <c r="B6" s="3" t="s">
        <v>42</v>
      </c>
      <c r="C6" s="2" t="s">
        <v>13</v>
      </c>
      <c r="D6" s="2">
        <v>1963</v>
      </c>
      <c r="E6" s="2" t="s">
        <v>43</v>
      </c>
      <c r="F6" s="3" t="s">
        <v>44</v>
      </c>
      <c r="G6" s="4">
        <v>46317</v>
      </c>
      <c r="H6" s="3" t="s">
        <v>45</v>
      </c>
      <c r="I6" s="3" t="s">
        <v>46</v>
      </c>
      <c r="J6" s="2" t="s">
        <v>33</v>
      </c>
      <c r="K6" s="2" t="s">
        <v>19</v>
      </c>
    </row>
  </sheetData>
  <autoFilter ref="A1:K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4.4" x14ac:dyDescent="0.3"/>
  <cols>
    <col min="1" max="1" width="20" customWidth="1"/>
    <col min="2" max="2" width="22" customWidth="1"/>
    <col min="3" max="5" width="20" customWidth="1"/>
  </cols>
  <sheetData>
    <row r="1" spans="1:5" ht="24.6" x14ac:dyDescent="0.55000000000000004">
      <c r="A1" s="8" t="s">
        <v>47</v>
      </c>
    </row>
    <row r="2" spans="1:5" ht="15" x14ac:dyDescent="0.35">
      <c r="A2" s="9" t="s">
        <v>48</v>
      </c>
    </row>
    <row r="4" spans="1:5" ht="15" x14ac:dyDescent="0.35">
      <c r="A4" s="10" t="s">
        <v>49</v>
      </c>
      <c r="C4" s="10" t="s">
        <v>50</v>
      </c>
      <c r="E4" s="10" t="s">
        <v>51</v>
      </c>
    </row>
    <row r="5" spans="1:5" ht="29.4" x14ac:dyDescent="0.65">
      <c r="A5" s="11">
        <f>COUNTA('Danh Sách Bệnh Nhân'!A2:A6)</f>
        <v>5</v>
      </c>
      <c r="C5" s="11">
        <f>COUNTIF('Danh Sách Bệnh Nhân'!J2:J6, "Có")</f>
        <v>3</v>
      </c>
      <c r="E5" s="12">
        <f>C5/A5</f>
        <v>0.6</v>
      </c>
    </row>
    <row r="8" spans="1:5" ht="19.2" x14ac:dyDescent="0.45">
      <c r="A8" s="13" t="s">
        <v>52</v>
      </c>
    </row>
    <row r="9" spans="1:5" ht="16.8" x14ac:dyDescent="0.4">
      <c r="A9" s="14" t="s">
        <v>53</v>
      </c>
      <c r="B9" s="14" t="s">
        <v>54</v>
      </c>
    </row>
    <row r="10" spans="1:5" ht="15" x14ac:dyDescent="0.35">
      <c r="A10" s="15" t="s">
        <v>16</v>
      </c>
      <c r="B10" s="16">
        <f>COUNTIF('Danh Sách Bệnh Nhân'!H2:H6, A10)</f>
        <v>1</v>
      </c>
    </row>
    <row r="11" spans="1:5" ht="15" x14ac:dyDescent="0.35">
      <c r="A11" s="15" t="s">
        <v>25</v>
      </c>
      <c r="B11" s="16">
        <f>COUNTIF('Danh Sách Bệnh Nhân'!H2:H6, A11)</f>
        <v>1</v>
      </c>
    </row>
    <row r="12" spans="1:5" ht="15" x14ac:dyDescent="0.35">
      <c r="A12" s="15" t="s">
        <v>31</v>
      </c>
      <c r="B12" s="16">
        <f>COUNTIF('Danh Sách Bệnh Nhân'!H2:H6, A12)</f>
        <v>1</v>
      </c>
    </row>
    <row r="13" spans="1:5" ht="15" x14ac:dyDescent="0.35">
      <c r="A13" s="15" t="s">
        <v>38</v>
      </c>
      <c r="B13" s="16">
        <f>COUNTIF('Danh Sách Bệnh Nhân'!H2:H6, A13)</f>
        <v>1</v>
      </c>
    </row>
    <row r="14" spans="1:5" ht="15" x14ac:dyDescent="0.35">
      <c r="A14" s="15" t="s">
        <v>45</v>
      </c>
      <c r="B14" s="16">
        <f>COUNTIF('Danh Sách Bệnh Nhân'!H2:H6, A14)</f>
        <v>1</v>
      </c>
    </row>
    <row r="15" spans="1:5" ht="15" x14ac:dyDescent="0.35">
      <c r="A15" s="17" t="s">
        <v>55</v>
      </c>
      <c r="B15" s="17">
        <f>SUM(B10:B14)</f>
        <v>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Danh Sách Bệnh Nhân</vt:lpstr>
      <vt:lpstr>Dashboard Thống Kê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lequanghao2609@gmail.com</cp:lastModifiedBy>
  <dcterms:created xsi:type="dcterms:W3CDTF">2026-10-26T16:41:51Z</dcterms:created>
  <dcterms:modified xsi:type="dcterms:W3CDTF">2026-10-26T16:42:49Z</dcterms:modified>
</cp:coreProperties>
</file>